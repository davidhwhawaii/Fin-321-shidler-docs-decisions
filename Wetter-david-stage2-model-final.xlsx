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david/Downloads/"/>
    </mc:Choice>
  </mc:AlternateContent>
  <xr:revisionPtr revIDLastSave="0" documentId="13_ncr:1_{E8358096-DE43-F547-8406-0CA16FCC75AD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FX Hedge Model" sheetId="1" r:id="rId1"/>
    <sheet name="Notes &amp; Assumptions" sheetId="2" r:id="rId2"/>
  </sheets>
  <definedNames>
    <definedName name="F0_in">'FX Hedge Model'!$C$10</definedName>
    <definedName name="FC_AMT">'FX Hedge Model'!$C$8</definedName>
    <definedName name="K_CALL">'FX Hedge Model'!$C$16</definedName>
    <definedName name="K_PUT">'FX Hedge Model'!$C$14</definedName>
    <definedName name="PREM_CALL">'FX Hedge Model'!$C$17</definedName>
    <definedName name="PREM_PUT">'FX Hedge Model'!$C$15</definedName>
    <definedName name="_xlnm.Print_Titles" localSheetId="0">'FX Hedge Model'!$1:$5</definedName>
    <definedName name="R_FC">'FX Hedge Model'!$C$12</definedName>
    <definedName name="R_USD">'FX Hedge Model'!$C$11</definedName>
    <definedName name="S0_in">'FX Hedge Model'!$C$9</definedName>
    <definedName name="T_DAYS">'FX Hedge Model'!$C$13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9" i="1" l="1"/>
  <c r="C30" i="1" s="1"/>
  <c r="C31" i="1" s="1"/>
  <c r="C62" i="1"/>
  <c r="B57" i="1"/>
  <c r="C57" i="1" s="1"/>
  <c r="B56" i="1"/>
  <c r="C56" i="1" s="1"/>
  <c r="B55" i="1"/>
  <c r="C55" i="1" s="1"/>
  <c r="B54" i="1"/>
  <c r="C54" i="1" s="1"/>
  <c r="B53" i="1"/>
  <c r="C53" i="1" s="1"/>
  <c r="B52" i="1"/>
  <c r="C52" i="1" s="1"/>
  <c r="B51" i="1"/>
  <c r="C51" i="1" s="1"/>
  <c r="B50" i="1"/>
  <c r="C50" i="1" s="1"/>
  <c r="B49" i="1"/>
  <c r="C49" i="1" s="1"/>
  <c r="B48" i="1"/>
  <c r="C48" i="1" s="1"/>
  <c r="B47" i="1"/>
  <c r="C47" i="1" s="1"/>
  <c r="C41" i="1"/>
  <c r="C42" i="1" s="1"/>
  <c r="C38" i="1"/>
  <c r="C39" i="1" s="1"/>
  <c r="C66" i="1" s="1"/>
  <c r="D66" i="1" s="1"/>
  <c r="C22" i="1"/>
  <c r="C24" i="1" s="1"/>
  <c r="C10" i="1"/>
  <c r="D56" i="1" s="1"/>
  <c r="C23" i="1" l="1"/>
  <c r="E56" i="1"/>
  <c r="E52" i="1"/>
  <c r="E48" i="1"/>
  <c r="E57" i="1"/>
  <c r="E53" i="1"/>
  <c r="E49" i="1"/>
  <c r="C64" i="1"/>
  <c r="D64" i="1" s="1"/>
  <c r="E54" i="1"/>
  <c r="E50" i="1"/>
  <c r="E55" i="1"/>
  <c r="E51" i="1"/>
  <c r="E47" i="1"/>
  <c r="F47" i="1"/>
  <c r="D50" i="1"/>
  <c r="F55" i="1"/>
  <c r="D48" i="1"/>
  <c r="F49" i="1"/>
  <c r="D52" i="1"/>
  <c r="F53" i="1"/>
  <c r="D47" i="1"/>
  <c r="F48" i="1"/>
  <c r="D51" i="1"/>
  <c r="F52" i="1"/>
  <c r="D55" i="1"/>
  <c r="F56" i="1"/>
  <c r="G48" i="1"/>
  <c r="G52" i="1"/>
  <c r="G56" i="1"/>
  <c r="C40" i="1"/>
  <c r="C65" i="1" s="1"/>
  <c r="D65" i="1" s="1"/>
  <c r="G47" i="1"/>
  <c r="G51" i="1"/>
  <c r="G55" i="1"/>
  <c r="D57" i="1"/>
  <c r="F51" i="1"/>
  <c r="D54" i="1"/>
  <c r="D49" i="1"/>
  <c r="F50" i="1"/>
  <c r="D53" i="1"/>
  <c r="F54" i="1"/>
  <c r="G50" i="1"/>
  <c r="G54" i="1"/>
  <c r="F57" i="1"/>
  <c r="G49" i="1"/>
  <c r="G53" i="1"/>
  <c r="G57" i="1"/>
  <c r="C63" i="1" l="1"/>
  <c r="D63" i="1" s="1"/>
  <c r="C32" i="1"/>
  <c r="C33" i="1" s="1"/>
  <c r="D33" i="1" s="1"/>
</calcChain>
</file>

<file path=xl/sharedStrings.xml><?xml version="1.0" encoding="utf-8"?>
<sst xmlns="http://schemas.openxmlformats.org/spreadsheetml/2006/main" count="161" uniqueCount="152">
  <si>
    <t>EUR/USD FOREIGN EXCHANGE HEDGE ANALYSIS MODEL</t>
  </si>
  <si>
    <t>DW Risk Management │ CFO Memo Support │ €10,776,574 Receivable due April 2027</t>
  </si>
  <si>
    <t>Prepared by: Risk Management Department</t>
  </si>
  <si>
    <t>Date: April 1, 2026</t>
  </si>
  <si>
    <t>Scenario: EUR Receivable (Long EUR)</t>
  </si>
  <si>
    <t>COLOR KEY:   🟡 Yellow = Editable Inputs   🔵 Blue = Assumptions   🟢 Green = Formulas   ⬜ Gray = Summary Outputs</t>
  </si>
  <si>
    <t xml:space="preserve">  SECTION 1 │ INPUTS &amp; ASSUMPTIONS  (edit yellow cells only)</t>
  </si>
  <si>
    <t>Parameter</t>
  </si>
  <si>
    <t>Value</t>
  </si>
  <si>
    <t>Units</t>
  </si>
  <si>
    <t>Named Range</t>
  </si>
  <si>
    <t>Source / Note</t>
  </si>
  <si>
    <t>EUR Notional Receivable</t>
  </si>
  <si>
    <t>EUR</t>
  </si>
  <si>
    <t>FC_AMT</t>
  </si>
  <si>
    <t>Stage 1 memo: $12.5M / 1.1608</t>
  </si>
  <si>
    <t>EUR/USD Spot Rate (Apr 1 2026)</t>
  </si>
  <si>
    <t>USD/EUR</t>
  </si>
  <si>
    <t>S0_in</t>
  </si>
  <si>
    <t>Bloomberg, April 1 2026</t>
  </si>
  <si>
    <t>1-Year Forward Rate (EUR/USD)</t>
  </si>
  <si>
    <t>F0_in</t>
  </si>
  <si>
    <t>CIP-derived: F = S₀ × (1+R_USD)/(1+R_FC). Updates automatically with rate inputs.</t>
  </si>
  <si>
    <t>USD 1-Year Interest Rate</t>
  </si>
  <si>
    <t>%</t>
  </si>
  <si>
    <t>R_USD</t>
  </si>
  <si>
    <t>Fed funds / 1-yr T-bill proxy</t>
  </si>
  <si>
    <t>EUR 1-Year Interest Rate</t>
  </si>
  <si>
    <t>R_FC</t>
  </si>
  <si>
    <t>ECB deposit rate proxy</t>
  </si>
  <si>
    <t>Time Horizon</t>
  </si>
  <si>
    <t>Days</t>
  </si>
  <si>
    <t>T_DAYS</t>
  </si>
  <si>
    <t>Settlement April 2027</t>
  </si>
  <si>
    <t>Put Strike Price (EUR/USD)</t>
  </si>
  <si>
    <t>K_PUT</t>
  </si>
  <si>
    <t>ATM put = current spot</t>
  </si>
  <si>
    <t>Put Premium</t>
  </si>
  <si>
    <t>PREM_PUT</t>
  </si>
  <si>
    <t>Stage 1 memo: $0.017/EUR</t>
  </si>
  <si>
    <t>Call Strike Price (EUR/USD)</t>
  </si>
  <si>
    <t>K_CALL</t>
  </si>
  <si>
    <t>ATM call (reference only)</t>
  </si>
  <si>
    <t>Call Premium</t>
  </si>
  <si>
    <t>PREM_CALL</t>
  </si>
  <si>
    <t>Assumed 0.012 – see Notes tab</t>
  </si>
  <si>
    <t xml:space="preserve">  SECTION 2 │ FORWARD HEDGE</t>
  </si>
  <si>
    <t>Strategy: Lock in USD proceeds today by selling EUR forward at F0. No upside participation.</t>
  </si>
  <si>
    <t>[a] EUR Notional Receivable (FC_AMT)</t>
  </si>
  <si>
    <t>[b] Agreed Forward Rate (F0_in)</t>
  </si>
  <si>
    <t>[c] Locked-In USD Proceeds   =  FC_AMT × F0_in</t>
  </si>
  <si>
    <t>← LOCKED-IN (Forward)</t>
  </si>
  <si>
    <t xml:space="preserve">  SECTION 3 │ MONEY MARKET HEDGE</t>
  </si>
  <si>
    <t>Strategy: Borrow in EUR → convert at spot → invest in USD. Synthetically replicates the forward.</t>
  </si>
  <si>
    <t>[a] Borrow PV of EUR receivable   =  FC_AMT ÷ (1 + R_FC)</t>
  </si>
  <si>
    <t>[b] Convert [a] to USD at spot   =  [a] × S0_in</t>
  </si>
  <si>
    <t>[c] Invest [b] in USD for 1 year   =  [b] × (1 + R_USD)</t>
  </si>
  <si>
    <t>← LOCKED-IN (MM Hedge)</t>
  </si>
  <si>
    <t>Parity Check vs. Forward Hedge</t>
  </si>
  <si>
    <t>Difference (should be near zero)</t>
  </si>
  <si>
    <t xml:space="preserve">  SECTION 4 │ OPTION HEDGE  (EUR Put – Floor Strategy)</t>
  </si>
  <si>
    <t>Strategy: Buy EUR put options at strike K_PUT. If EUR/USD &lt; K_PUT, exercise and receive K_PUT × FC_AMT. If EUR/USD &gt; K_PUT, let expire and sell at market (full upside).</t>
  </si>
  <si>
    <t>[a] Total Put Premium Cost (upfront)   =  PREM_PUT × FC_AMT</t>
  </si>
  <si>
    <t>[b] Future Value of Premium   =  [a] × (1 + R_USD)</t>
  </si>
  <si>
    <t>[c] Floor Proceeds if EUR weakens   =  K_PUT × FC_AMT − [b]</t>
  </si>
  <si>
    <t>← FLOOR (Put Option) – worst-case USD proceeds</t>
  </si>
  <si>
    <t>[d] Call Premium Cost (reference only)   =  PREM_CALL × FC_AMT</t>
  </si>
  <si>
    <t>[e] FV of Call Premium   =  [d] × (1 + R_USD)</t>
  </si>
  <si>
    <t xml:space="preserve">  SECTION 5 │ SENSITIVITY ANALYSIS  (S_T range: 0.95×S₀ → 1.05×S₀, 1% steps)</t>
  </si>
  <si>
    <t>EUR/USD Spot at Maturity (S_T)</t>
  </si>
  <si>
    <t>No Hedge (USD)</t>
  </si>
  <si>
    <t>Forward Hedge (USD)</t>
  </si>
  <si>
    <t>Money Market (USD)</t>
  </si>
  <si>
    <t>Put Option (USD)</t>
  </si>
  <si>
    <t>Put Option Premium Already Paid</t>
  </si>
  <si>
    <t>← Current spot (S₀)</t>
  </si>
  <si>
    <t xml:space="preserve">  SECTION 6 │ SUMMARY OUTPUT  (CFO Dashboard)</t>
  </si>
  <si>
    <t>Metric</t>
  </si>
  <si>
    <t>USD Amount</t>
  </si>
  <si>
    <t>vs. No Hedge @ S₀</t>
  </si>
  <si>
    <t>Notes</t>
  </si>
  <si>
    <t>Unhedged Proceeds (at current S₀ = 1.1608)</t>
  </si>
  <si>
    <t>Baseline – no protection</t>
  </si>
  <si>
    <t>Forward Hedge – Locked-In Proceeds</t>
  </si>
  <si>
    <t>Full certainty; no upside</t>
  </si>
  <si>
    <t>Money Market Hedge – Locked-In Proceeds</t>
  </si>
  <si>
    <t>Synthetic forward; balance-sheet impact</t>
  </si>
  <si>
    <t>Put Option – Worst-Case Floor</t>
  </si>
  <si>
    <t>Pays premium upfront; full upside preserved</t>
  </si>
  <si>
    <t>Put Option – Proceeds at S₀ (spot unchanged)</t>
  </si>
  <si>
    <t>Net of premium; upside minus cost</t>
  </si>
  <si>
    <t>Hedge Recommendation</t>
  </si>
  <si>
    <t>TBD – Stage 4</t>
  </si>
  <si>
    <t>To be completed in Stage 4</t>
  </si>
  <si>
    <t>NOTES &amp; ASSUMPTIONS  │  EUR/USD FX Hedge Model</t>
  </si>
  <si>
    <t>RATE &amp; DATE ASSUMPTIONS</t>
  </si>
  <si>
    <t>Spot Rate</t>
  </si>
  <si>
    <t>EUR/USD 1.1608 sourced from Bloomberg on April 1, 2026.</t>
  </si>
  <si>
    <t>Forward Rate</t>
  </si>
  <si>
    <t>USD Rate</t>
  </si>
  <si>
    <t>3.75% — Fed funds upper bound / 1-year Treasury proxy as of April 1, 2026.</t>
  </si>
  <si>
    <t>EUR Rate</t>
  </si>
  <si>
    <t>2.50% — ECB deposit rate proxy. Assumed flat for simplicity (no term structure).</t>
  </si>
  <si>
    <t>365 days (1 calendar year). No adjustment for business days or daycount conventions.</t>
  </si>
  <si>
    <t>OPTION ASSUMPTIONS</t>
  </si>
  <si>
    <t>Put Strike</t>
  </si>
  <si>
    <t>ATM put set at current spot (1.1608) to maximize downside protection per Stage 1 recommendation.</t>
  </si>
  <si>
    <t>$0.017/EUR as stated in Stage 1 memo. Total upfront cost ≈ $183,200. No bid-ask spread modeled.</t>
  </si>
  <si>
    <t>Call Strike</t>
  </si>
  <si>
    <t>ATM call at 1.1608 included for reference only; not recommended as primary hedge for a receivable.</t>
  </si>
  <si>
    <t>$0.012/EUR assumed (not stated in memo). Conservative estimate; see Stage 3 for Black-Scholes pricing.</t>
  </si>
  <si>
    <t>American vs European</t>
  </si>
  <si>
    <t>Assumed European-style options (exercise at expiry only). Standard for OTC FX options.</t>
  </si>
  <si>
    <t>MONEY MARKET HEDGE</t>
  </si>
  <si>
    <t>Borrow rate</t>
  </si>
  <si>
    <t>EUR borrowing rate assumed equal to EUR risk-free rate (2.50%). In practice, a credit spread applies.</t>
  </si>
  <si>
    <t>Balance sheet</t>
  </si>
  <si>
    <t>The MM hedge increases gross debt. Not reflected here — flagged for CFO review.</t>
  </si>
  <si>
    <t>Parity</t>
  </si>
  <si>
    <t>MM result equals Forward result exactly when F0 is CIP-derived. Parity confirmed: both strategies lock in $12,662,001.</t>
  </si>
  <si>
    <t>SIMPLIFICATIONS &amp; OMISSIONS</t>
  </si>
  <si>
    <t>No bid-ask spreads</t>
  </si>
  <si>
    <t>All rates are mid-market. Real execution will have transaction costs.</t>
  </si>
  <si>
    <t>No counterparty risk</t>
  </si>
  <si>
    <t>Credit risk on forward/option counterparty not modeled.</t>
  </si>
  <si>
    <t>Flat yield curve</t>
  </si>
  <si>
    <t>A single rate is used for each currency. No term structure assumed.</t>
  </si>
  <si>
    <t>No taxes</t>
  </si>
  <si>
    <t>Tax effects of hedging gains/losses are excluded.</t>
  </si>
  <si>
    <t>No margin/collateral</t>
  </si>
  <si>
    <t>Variation margin on futures/forwards not modeled (OTC assumed).</t>
  </si>
  <si>
    <t>MODEL STRUCTURE</t>
  </si>
  <si>
    <t>Color coding</t>
  </si>
  <si>
    <t>Yellow = editable inputs | Blue background = assumption labels | Green = formulas | Gray = outputs</t>
  </si>
  <si>
    <t>Named ranges</t>
  </si>
  <si>
    <t>All key inputs have named ranges for auditability: FC_AMT, S0_in, F0_in, R_USD, R_FC, T_DAYS, K_PUT, PREM_PUT, K_CALL, PREM_CALL</t>
  </si>
  <si>
    <t>Sensitivity range</t>
  </si>
  <si>
    <t>±5% of spot in 1% increments (11 scenarios). Extend range in column B for stress tests.</t>
  </si>
  <si>
    <t>Stage 4 link</t>
  </si>
  <si>
    <t>Hedge Recommendation row (C86) left as placeholder — to be populated after Stage 3 model specification.</t>
  </si>
  <si>
    <t>IMPORTANT: FORWARD RATE vs. CIP PARITY</t>
  </si>
  <si>
    <t>CIP formula</t>
  </si>
  <si>
    <t>F = S₀ × (1+R_USD)/(1+R_FC) = 1.1608 × (1.0375/1.025) = 1.1750. Model now uses this formula directly in C10.</t>
  </si>
  <si>
    <t>Derivation</t>
  </si>
  <si>
    <t>Rate is fully CIP-derived from the USD and EUR interest rate inputs.</t>
  </si>
  <si>
    <t>Resolution</t>
  </si>
  <si>
    <t>Cell C10 now contains the live CIP formula =S0_in*(1+R_USD)/(1+R_FC), so the forward rate updates automatically if any rate input changes.</t>
  </si>
  <si>
    <t>Parity confirmed</t>
  </si>
  <si>
    <t>With the corrected forward rate, Forward Hedge ($12,662,001) = Money Market Hedge ($12,662,001). Difference = $0.</t>
  </si>
  <si>
    <t>Recommendation for Stage 3</t>
  </si>
  <si>
    <t>Forward rate is now theoretically consistent. If a bank quotes differently, update S0_in and the rates — F0 will recalculate automatically.</t>
  </si>
  <si>
    <t>CIP-derived: F = S₀ × (1+R_USD)/(1+R_FC) = 1.1608 × (1.0375/1.0250) = 1.1750. Forward and MM hedge show exact parity ($12,662,001). There was error in the memo.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</si>
</sst>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€#,##0"/>
    <numFmt numFmtId="165" formatCode="0.0000"/>
    <numFmt numFmtId="166" formatCode="\$#,##0;&quot;($&quot;#,##0\);\-"/>
  </numFmts>
  <fonts count="23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10"/>
      <color rgb="FFFFFFFF"/>
      <name val="Arial"/>
      <family val="2"/>
    </font>
    <font>
      <b/>
      <sz val="10"/>
      <color rgb="FF1F3864"/>
      <name val="Arial"/>
      <family val="2"/>
    </font>
    <font>
      <sz val="9"/>
      <color rgb="FF444444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FF"/>
      <name val="Arial"/>
      <family val="2"/>
    </font>
    <font>
      <sz val="9"/>
      <color rgb="FF555555"/>
      <name val="Arial"/>
      <family val="2"/>
    </font>
    <font>
      <sz val="9"/>
      <color rgb="FF7030A0"/>
      <name val="Arial"/>
      <family val="2"/>
    </font>
    <font>
      <i/>
      <sz val="9"/>
      <color rgb="FF444444"/>
      <name val="Arial"/>
      <family val="2"/>
    </font>
    <font>
      <b/>
      <sz val="10"/>
      <color rgb="FF000000"/>
      <name val="Arial"/>
      <family val="2"/>
    </font>
    <font>
      <b/>
      <sz val="9"/>
      <color rgb="FF1F6B1F"/>
      <name val="Arial"/>
      <family val="2"/>
    </font>
    <font>
      <sz val="6"/>
      <name val="Arial"/>
      <family val="2"/>
    </font>
    <font>
      <i/>
      <sz val="9"/>
      <color rgb="FF7F3F00"/>
      <name val="Arial"/>
      <family val="2"/>
    </font>
    <font>
      <b/>
      <sz val="9"/>
      <color rgb="FF8B0000"/>
      <name val="Arial"/>
      <family val="2"/>
    </font>
    <font>
      <i/>
      <sz val="9"/>
      <color rgb="FF8B4500"/>
      <name val="Arial"/>
      <family val="2"/>
    </font>
    <font>
      <i/>
      <sz val="9"/>
      <color rgb="FF555555"/>
      <name val="Arial"/>
      <family val="2"/>
    </font>
    <font>
      <b/>
      <sz val="10"/>
      <color rgb="FF7F3F00"/>
      <name val="Arial"/>
      <family val="2"/>
    </font>
    <font>
      <b/>
      <sz val="14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2F5496"/>
        <bgColor rgb="FF1F3864"/>
      </patternFill>
    </fill>
    <fill>
      <patternFill patternType="solid">
        <fgColor rgb="FFEBF0FA"/>
        <bgColor rgb="FFF2F2F2"/>
      </patternFill>
    </fill>
    <fill>
      <patternFill patternType="solid">
        <fgColor rgb="FFF2F2F2"/>
        <bgColor rgb="FFEBF0FA"/>
      </patternFill>
    </fill>
    <fill>
      <patternFill patternType="solid">
        <fgColor rgb="FFF9F9F9"/>
        <bgColor rgb="FFF4F9F4"/>
      </patternFill>
    </fill>
    <fill>
      <patternFill patternType="solid">
        <fgColor rgb="FFFFFF00"/>
        <bgColor rgb="FFFFFF00"/>
      </patternFill>
    </fill>
    <fill>
      <patternFill patternType="solid">
        <fgColor rgb="FFF4F9F4"/>
        <bgColor rgb="FFF9F9F9"/>
      </patternFill>
    </fill>
    <fill>
      <patternFill patternType="solid">
        <fgColor rgb="FFE2EFDA"/>
        <bgColor rgb="FFEBF0FA"/>
      </patternFill>
    </fill>
    <fill>
      <patternFill patternType="solid">
        <fgColor rgb="FFD9D9D9"/>
        <bgColor rgb="FFE2EFDA"/>
      </patternFill>
    </fill>
    <fill>
      <patternFill patternType="solid">
        <fgColor rgb="FFFFFFFF"/>
        <bgColor rgb="FFF9F9F9"/>
      </patternFill>
    </fill>
    <fill>
      <patternFill patternType="solid">
        <fgColor rgb="FFFCE4D6"/>
        <bgColor rgb="FFFFF2CC"/>
      </patternFill>
    </fill>
    <fill>
      <patternFill patternType="solid">
        <fgColor rgb="FFFFD966"/>
        <bgColor rgb="FFFFCC00"/>
      </patternFill>
    </fill>
    <fill>
      <patternFill patternType="solid">
        <fgColor rgb="FFC00000"/>
        <bgColor rgb="FF8B0000"/>
      </patternFill>
    </fill>
    <fill>
      <patternFill patternType="solid">
        <fgColor rgb="FFFFF2CC"/>
        <bgColor rgb="FFFCE4D6"/>
      </patternFill>
    </fill>
    <fill>
      <patternFill patternType="solid">
        <fgColor rgb="FFFFFDE7"/>
        <bgColor rgb="FFF9F9F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6" fillId="3" borderId="0" xfId="0" applyFont="1" applyFill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164" fontId="8" fillId="7" borderId="1" xfId="0" applyNumberFormat="1" applyFont="1" applyFill="1" applyBorder="1" applyAlignment="1">
      <alignment horizontal="right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165" fontId="8" fillId="7" borderId="1" xfId="0" applyNumberFormat="1" applyFont="1" applyFill="1" applyBorder="1" applyAlignment="1">
      <alignment horizontal="right" vertical="center"/>
    </xf>
    <xf numFmtId="10" fontId="8" fillId="7" borderId="1" xfId="0" applyNumberFormat="1" applyFont="1" applyFill="1" applyBorder="1" applyAlignment="1">
      <alignment horizontal="right" vertical="center"/>
    </xf>
    <xf numFmtId="3" fontId="8" fillId="7" borderId="1" xfId="0" applyNumberFormat="1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left" vertical="center" wrapText="1"/>
    </xf>
    <xf numFmtId="164" fontId="12" fillId="9" borderId="1" xfId="0" applyNumberFormat="1" applyFont="1" applyFill="1" applyBorder="1" applyAlignment="1">
      <alignment horizontal="right" vertical="center"/>
    </xf>
    <xf numFmtId="165" fontId="12" fillId="9" borderId="1" xfId="0" applyNumberFormat="1" applyFont="1" applyFill="1" applyBorder="1" applyAlignment="1">
      <alignment horizontal="right" vertical="center"/>
    </xf>
    <xf numFmtId="166" fontId="12" fillId="10" borderId="1" xfId="0" applyNumberFormat="1" applyFont="1" applyFill="1" applyBorder="1" applyAlignment="1">
      <alignment horizontal="right" vertical="center"/>
    </xf>
    <xf numFmtId="0" fontId="14" fillId="11" borderId="0" xfId="0" applyFont="1" applyFill="1"/>
    <xf numFmtId="165" fontId="14" fillId="11" borderId="0" xfId="0" applyNumberFormat="1" applyFont="1" applyFill="1" applyAlignment="1">
      <alignment horizontal="right"/>
    </xf>
    <xf numFmtId="0" fontId="14" fillId="11" borderId="0" xfId="0" applyFont="1" applyFill="1" applyAlignment="1">
      <alignment horizontal="left" wrapText="1"/>
    </xf>
    <xf numFmtId="166" fontId="12" fillId="9" borderId="1" xfId="0" applyNumberFormat="1" applyFont="1" applyFill="1" applyBorder="1" applyAlignment="1">
      <alignment horizontal="right" vertical="center"/>
    </xf>
    <xf numFmtId="166" fontId="12" fillId="12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 wrapText="1"/>
    </xf>
    <xf numFmtId="165" fontId="7" fillId="6" borderId="1" xfId="0" applyNumberFormat="1" applyFont="1" applyFill="1" applyBorder="1" applyAlignment="1">
      <alignment horizontal="right" vertical="center"/>
    </xf>
    <xf numFmtId="166" fontId="7" fillId="9" borderId="1" xfId="0" applyNumberFormat="1" applyFont="1" applyFill="1" applyBorder="1" applyAlignment="1">
      <alignment horizontal="right" vertical="center"/>
    </xf>
    <xf numFmtId="165" fontId="12" fillId="12" borderId="1" xfId="0" applyNumberFormat="1" applyFont="1" applyFill="1" applyBorder="1" applyAlignment="1">
      <alignment horizontal="right" vertical="center"/>
    </xf>
    <xf numFmtId="0" fontId="17" fillId="0" borderId="0" xfId="0" applyFont="1"/>
    <xf numFmtId="0" fontId="7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right" vertical="center"/>
    </xf>
    <xf numFmtId="0" fontId="18" fillId="10" borderId="1" xfId="0" applyFont="1" applyFill="1" applyBorder="1" applyAlignment="1">
      <alignment horizontal="left" vertical="center" wrapText="1"/>
    </xf>
    <xf numFmtId="166" fontId="7" fillId="10" borderId="1" xfId="0" applyNumberFormat="1" applyFont="1" applyFill="1" applyBorder="1" applyAlignment="1">
      <alignment horizontal="right" vertical="center"/>
    </xf>
    <xf numFmtId="0" fontId="19" fillId="13" borderId="1" xfId="0" applyFont="1" applyFill="1" applyBorder="1" applyAlignment="1">
      <alignment horizontal="left" vertical="center" wrapText="1"/>
    </xf>
    <xf numFmtId="0" fontId="19" fillId="13" borderId="1" xfId="0" applyFont="1" applyFill="1" applyBorder="1" applyAlignment="1">
      <alignment horizontal="right" vertical="center"/>
    </xf>
    <xf numFmtId="0" fontId="18" fillId="13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21" fillId="15" borderId="1" xfId="0" applyFont="1" applyFill="1" applyBorder="1"/>
    <xf numFmtId="0" fontId="22" fillId="16" borderId="1" xfId="0" applyFont="1" applyFill="1" applyBorder="1" applyAlignment="1">
      <alignment horizontal="left" vertical="center" wrapText="1"/>
    </xf>
    <xf numFmtId="0" fontId="11" fillId="0" borderId="0" xfId="0" applyFont="1"/>
    <xf numFmtId="0" fontId="16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5" fillId="14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1F6B1F"/>
      <rgbColor rgb="FF000080"/>
      <rgbColor rgb="FF808000"/>
      <rgbColor rgb="FF800080"/>
      <rgbColor rgb="FF008080"/>
      <rgbColor rgb="FFBFBFBF"/>
      <rgbColor rgb="FF878787"/>
      <rgbColor rgb="FF9999FF"/>
      <rgbColor rgb="FF7030A0"/>
      <rgbColor rgb="FFFFFDE7"/>
      <rgbColor rgb="FFEBF0FA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F4F9F4"/>
      <rgbColor rgb="FFE2EFDA"/>
      <rgbColor rgb="FFFFF2CC"/>
      <rgbColor rgb="FFF2F2F2"/>
      <rgbColor rgb="FFFCE4D6"/>
      <rgbColor rgb="FFF9F9F9"/>
      <rgbColor rgb="FFFFD96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00B050"/>
      <rgbColor rgb="FF003300"/>
      <rgbColor rgb="FF333300"/>
      <rgbColor rgb="FF8B4500"/>
      <rgbColor rgb="FF7F3F00"/>
      <rgbColor rgb="FF2F5496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67"/>
  <sheetViews>
    <sheetView showGridLines="0" tabSelected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H15" sqref="H15"/>
    </sheetView>
  </sheetViews>
  <sheetFormatPr baseColWidth="10" defaultColWidth="8.6640625" defaultRowHeight="15" x14ac:dyDescent="0.2"/>
  <cols>
    <col min="1" max="1" width="4" customWidth="1"/>
    <col min="2" max="2" width="52.6640625" bestFit="1" customWidth="1"/>
    <col min="3" max="6" width="18" customWidth="1"/>
    <col min="7" max="7" width="22" customWidth="1"/>
    <col min="8" max="8" width="18" customWidth="1"/>
    <col min="9" max="9" width="22" customWidth="1"/>
  </cols>
  <sheetData>
    <row r="1" spans="2:9" ht="20" x14ac:dyDescent="0.2">
      <c r="B1" s="40" t="s">
        <v>0</v>
      </c>
      <c r="C1" s="40"/>
      <c r="D1" s="40"/>
      <c r="E1" s="40"/>
      <c r="F1" s="40"/>
      <c r="G1" s="40"/>
      <c r="H1" s="40"/>
      <c r="I1" s="40"/>
    </row>
    <row r="2" spans="2:9" x14ac:dyDescent="0.2">
      <c r="B2" s="41" t="s">
        <v>1</v>
      </c>
      <c r="C2" s="41"/>
      <c r="D2" s="41"/>
      <c r="E2" s="41"/>
      <c r="F2" s="41"/>
      <c r="G2" s="41"/>
      <c r="H2" s="41"/>
      <c r="I2" s="41"/>
    </row>
    <row r="3" spans="2:9" x14ac:dyDescent="0.2">
      <c r="B3" s="42" t="s">
        <v>2</v>
      </c>
      <c r="C3" s="42"/>
      <c r="D3" s="42"/>
      <c r="E3" s="42" t="s">
        <v>3</v>
      </c>
      <c r="F3" s="42"/>
      <c r="G3" s="42"/>
      <c r="H3" s="42" t="s">
        <v>4</v>
      </c>
      <c r="I3" s="42"/>
    </row>
    <row r="4" spans="2:9" x14ac:dyDescent="0.2">
      <c r="B4" s="39" t="s">
        <v>5</v>
      </c>
      <c r="C4" s="39"/>
      <c r="D4" s="39"/>
      <c r="E4" s="39"/>
      <c r="F4" s="39"/>
      <c r="G4" s="39"/>
      <c r="H4" s="39"/>
      <c r="I4" s="39"/>
    </row>
    <row r="6" spans="2:9" x14ac:dyDescent="0.2">
      <c r="B6" s="36" t="s">
        <v>6</v>
      </c>
      <c r="C6" s="36"/>
      <c r="D6" s="36"/>
      <c r="E6" s="36"/>
      <c r="F6" s="36"/>
      <c r="G6" s="36"/>
      <c r="H6" s="36"/>
      <c r="I6" s="36"/>
    </row>
    <row r="7" spans="2:9" x14ac:dyDescent="0.2"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</row>
    <row r="8" spans="2:9" ht="26" x14ac:dyDescent="0.2">
      <c r="B8" s="2" t="s">
        <v>12</v>
      </c>
      <c r="C8" s="3">
        <v>10776574</v>
      </c>
      <c r="D8" s="4" t="s">
        <v>13</v>
      </c>
      <c r="E8" s="5" t="s">
        <v>14</v>
      </c>
      <c r="F8" s="6" t="s">
        <v>15</v>
      </c>
    </row>
    <row r="9" spans="2:9" x14ac:dyDescent="0.2">
      <c r="B9" s="2" t="s">
        <v>16</v>
      </c>
      <c r="C9" s="7">
        <v>1.1608000000000001</v>
      </c>
      <c r="D9" s="4" t="s">
        <v>17</v>
      </c>
      <c r="E9" s="5" t="s">
        <v>18</v>
      </c>
      <c r="F9" s="6" t="s">
        <v>19</v>
      </c>
    </row>
    <row r="10" spans="2:9" ht="52" x14ac:dyDescent="0.2">
      <c r="B10" s="2" t="s">
        <v>20</v>
      </c>
      <c r="C10" s="7">
        <f>S0_in*(1+R_USD)/(1+R_FC)</f>
        <v>1.1749560975609759</v>
      </c>
      <c r="D10" s="4" t="s">
        <v>17</v>
      </c>
      <c r="E10" s="5" t="s">
        <v>21</v>
      </c>
      <c r="F10" s="6" t="s">
        <v>22</v>
      </c>
    </row>
    <row r="11" spans="2:9" ht="26" x14ac:dyDescent="0.2">
      <c r="B11" s="2" t="s">
        <v>23</v>
      </c>
      <c r="C11" s="8">
        <v>3.7499999999999999E-2</v>
      </c>
      <c r="D11" s="4" t="s">
        <v>24</v>
      </c>
      <c r="E11" s="5" t="s">
        <v>25</v>
      </c>
      <c r="F11" s="6" t="s">
        <v>26</v>
      </c>
    </row>
    <row r="12" spans="2:9" x14ac:dyDescent="0.2">
      <c r="B12" s="2" t="s">
        <v>27</v>
      </c>
      <c r="C12" s="8">
        <v>2.5000000000000001E-2</v>
      </c>
      <c r="D12" s="4" t="s">
        <v>24</v>
      </c>
      <c r="E12" s="5" t="s">
        <v>28</v>
      </c>
      <c r="F12" s="6" t="s">
        <v>29</v>
      </c>
    </row>
    <row r="13" spans="2:9" x14ac:dyDescent="0.2">
      <c r="B13" s="2" t="s">
        <v>30</v>
      </c>
      <c r="C13" s="9">
        <v>365</v>
      </c>
      <c r="D13" s="4" t="s">
        <v>31</v>
      </c>
      <c r="E13" s="5" t="s">
        <v>32</v>
      </c>
      <c r="F13" s="6" t="s">
        <v>33</v>
      </c>
    </row>
    <row r="14" spans="2:9" x14ac:dyDescent="0.2">
      <c r="B14" s="2" t="s">
        <v>34</v>
      </c>
      <c r="C14" s="7">
        <v>1.1608000000000001</v>
      </c>
      <c r="D14" s="4" t="s">
        <v>17</v>
      </c>
      <c r="E14" s="5" t="s">
        <v>35</v>
      </c>
      <c r="F14" s="6" t="s">
        <v>36</v>
      </c>
    </row>
    <row r="15" spans="2:9" ht="26" x14ac:dyDescent="0.2">
      <c r="B15" s="2" t="s">
        <v>37</v>
      </c>
      <c r="C15" s="7">
        <v>1.7000000000000001E-2</v>
      </c>
      <c r="D15" s="4" t="s">
        <v>17</v>
      </c>
      <c r="E15" s="5" t="s">
        <v>38</v>
      </c>
      <c r="F15" s="6" t="s">
        <v>39</v>
      </c>
    </row>
    <row r="16" spans="2:9" ht="26" x14ac:dyDescent="0.2">
      <c r="B16" s="2" t="s">
        <v>40</v>
      </c>
      <c r="C16" s="7">
        <v>1.1608000000000001</v>
      </c>
      <c r="D16" s="4" t="s">
        <v>17</v>
      </c>
      <c r="E16" s="5" t="s">
        <v>41</v>
      </c>
      <c r="F16" s="6" t="s">
        <v>42</v>
      </c>
    </row>
    <row r="17" spans="2:9" ht="26" x14ac:dyDescent="0.2">
      <c r="B17" s="2" t="s">
        <v>43</v>
      </c>
      <c r="C17" s="7">
        <v>1.2E-2</v>
      </c>
      <c r="D17" s="4" t="s">
        <v>17</v>
      </c>
      <c r="E17" s="5" t="s">
        <v>44</v>
      </c>
      <c r="F17" s="6" t="s">
        <v>45</v>
      </c>
    </row>
    <row r="20" spans="2:9" x14ac:dyDescent="0.2">
      <c r="B20" s="36" t="s">
        <v>46</v>
      </c>
      <c r="C20" s="36"/>
      <c r="D20" s="36"/>
      <c r="E20" s="36"/>
      <c r="F20" s="36"/>
      <c r="G20" s="36"/>
      <c r="H20" s="36"/>
      <c r="I20" s="36"/>
    </row>
    <row r="21" spans="2:9" x14ac:dyDescent="0.2">
      <c r="B21" s="34" t="s">
        <v>47</v>
      </c>
      <c r="C21" s="34"/>
      <c r="D21" s="34"/>
      <c r="E21" s="34"/>
    </row>
    <row r="22" spans="2:9" x14ac:dyDescent="0.2">
      <c r="B22" s="10" t="s">
        <v>48</v>
      </c>
      <c r="C22" s="11">
        <f>FC_AMT</f>
        <v>10776574</v>
      </c>
    </row>
    <row r="23" spans="2:9" x14ac:dyDescent="0.2">
      <c r="B23" s="10" t="s">
        <v>49</v>
      </c>
      <c r="C23" s="12">
        <f>F0_in</f>
        <v>1.1749560975609759</v>
      </c>
    </row>
    <row r="24" spans="2:9" x14ac:dyDescent="0.2">
      <c r="B24" s="10" t="s">
        <v>50</v>
      </c>
      <c r="C24" s="13">
        <f>C22*F0_in</f>
        <v>12662001.332117075</v>
      </c>
      <c r="D24" s="37" t="s">
        <v>51</v>
      </c>
      <c r="E24" s="37"/>
    </row>
    <row r="25" spans="2:9" x14ac:dyDescent="0.2">
      <c r="B25" s="14"/>
      <c r="C25" s="15"/>
      <c r="D25" s="16"/>
      <c r="E25" s="14"/>
      <c r="F25" s="14"/>
      <c r="G25" s="14"/>
      <c r="H25" s="14"/>
      <c r="I25" s="14"/>
    </row>
    <row r="27" spans="2:9" x14ac:dyDescent="0.2">
      <c r="B27" s="36" t="s">
        <v>52</v>
      </c>
      <c r="C27" s="36"/>
      <c r="D27" s="36"/>
      <c r="E27" s="36"/>
      <c r="F27" s="36"/>
      <c r="G27" s="36"/>
      <c r="H27" s="36"/>
      <c r="I27" s="36"/>
    </row>
    <row r="28" spans="2:9" x14ac:dyDescent="0.2">
      <c r="B28" s="34" t="s">
        <v>53</v>
      </c>
      <c r="C28" s="34"/>
      <c r="D28" s="34"/>
      <c r="E28" s="34"/>
    </row>
    <row r="29" spans="2:9" x14ac:dyDescent="0.2">
      <c r="B29" s="10" t="s">
        <v>54</v>
      </c>
      <c r="C29" s="11">
        <f>FC_AMT/(1+R_FC)</f>
        <v>10513730.731707318</v>
      </c>
    </row>
    <row r="30" spans="2:9" x14ac:dyDescent="0.2">
      <c r="B30" s="10" t="s">
        <v>55</v>
      </c>
      <c r="C30" s="17">
        <f>C29*S0_in</f>
        <v>12204338.633365855</v>
      </c>
    </row>
    <row r="31" spans="2:9" x14ac:dyDescent="0.2">
      <c r="B31" s="10" t="s">
        <v>56</v>
      </c>
      <c r="C31" s="13">
        <f>C30*(1+R_USD)</f>
        <v>12662001.332117075</v>
      </c>
      <c r="D31" s="37" t="s">
        <v>57</v>
      </c>
      <c r="E31" s="37"/>
    </row>
    <row r="32" spans="2:9" x14ac:dyDescent="0.2">
      <c r="B32" s="10" t="s">
        <v>58</v>
      </c>
      <c r="C32" s="13">
        <f>C24</f>
        <v>12662001.332117075</v>
      </c>
    </row>
    <row r="33" spans="2:9" x14ac:dyDescent="0.2">
      <c r="B33" s="10" t="s">
        <v>59</v>
      </c>
      <c r="C33" s="18">
        <f>C31-C32</f>
        <v>0</v>
      </c>
      <c r="D33" s="38" t="str">
        <f>IF(ABS(C33)&lt;500000,"✓ Rates consistent","⚠ Note: F0 from memo (1.0910) differs from CIP-implied rate (S0×(1+R_USD)/(1+R_FC)≈1.1750). Difference reflects market forward pricing vs. theoretical parity.")</f>
        <v>✓ Rates consistent</v>
      </c>
      <c r="E33" s="38"/>
      <c r="F33" s="38"/>
    </row>
    <row r="36" spans="2:9" x14ac:dyDescent="0.2">
      <c r="B36" s="36" t="s">
        <v>60</v>
      </c>
      <c r="C36" s="36"/>
      <c r="D36" s="36"/>
      <c r="E36" s="36"/>
      <c r="F36" s="36"/>
      <c r="G36" s="36"/>
      <c r="H36" s="36"/>
      <c r="I36" s="36"/>
    </row>
    <row r="37" spans="2:9" x14ac:dyDescent="0.2">
      <c r="B37" s="34" t="s">
        <v>61</v>
      </c>
      <c r="C37" s="34"/>
      <c r="D37" s="34"/>
      <c r="E37" s="34"/>
      <c r="F37" s="34"/>
    </row>
    <row r="38" spans="2:9" x14ac:dyDescent="0.2">
      <c r="B38" s="10" t="s">
        <v>62</v>
      </c>
      <c r="C38" s="17">
        <f>PREM_PUT*FC_AMT</f>
        <v>183201.758</v>
      </c>
    </row>
    <row r="39" spans="2:9" x14ac:dyDescent="0.2">
      <c r="B39" s="10" t="s">
        <v>63</v>
      </c>
      <c r="C39" s="17">
        <f>C38*(1+R_USD)</f>
        <v>190071.823925</v>
      </c>
    </row>
    <row r="40" spans="2:9" x14ac:dyDescent="0.2">
      <c r="B40" s="10" t="s">
        <v>64</v>
      </c>
      <c r="C40" s="17">
        <f>K_PUT*FC_AMT-C39</f>
        <v>12319375.275275001</v>
      </c>
      <c r="D40" s="35" t="s">
        <v>65</v>
      </c>
      <c r="E40" s="35"/>
      <c r="F40" s="35"/>
    </row>
    <row r="41" spans="2:9" ht="28" x14ac:dyDescent="0.2">
      <c r="B41" s="10" t="s">
        <v>66</v>
      </c>
      <c r="C41" s="17">
        <f>PREM_CALL*FC_AMT</f>
        <v>129318.88800000001</v>
      </c>
    </row>
    <row r="42" spans="2:9" x14ac:dyDescent="0.2">
      <c r="B42" s="10" t="s">
        <v>67</v>
      </c>
      <c r="C42" s="17">
        <f>C41*(1+R_USD)</f>
        <v>134168.3463</v>
      </c>
    </row>
    <row r="45" spans="2:9" x14ac:dyDescent="0.2">
      <c r="B45" s="36" t="s">
        <v>68</v>
      </c>
      <c r="C45" s="36"/>
      <c r="D45" s="36"/>
      <c r="E45" s="36"/>
      <c r="F45" s="36"/>
      <c r="G45" s="36"/>
      <c r="H45" s="36"/>
      <c r="I45" s="36"/>
    </row>
    <row r="46" spans="2:9" ht="28" x14ac:dyDescent="0.2">
      <c r="B46" s="19" t="s">
        <v>69</v>
      </c>
      <c r="C46" s="19" t="s">
        <v>70</v>
      </c>
      <c r="D46" s="19" t="s">
        <v>71</v>
      </c>
      <c r="E46" s="19" t="s">
        <v>72</v>
      </c>
      <c r="F46" s="19" t="s">
        <v>73</v>
      </c>
      <c r="G46" s="19" t="s">
        <v>74</v>
      </c>
    </row>
    <row r="47" spans="2:9" x14ac:dyDescent="0.2">
      <c r="B47" s="20">
        <f>S0_in*0.95</f>
        <v>1.10276</v>
      </c>
      <c r="C47" s="21">
        <f t="shared" ref="C47:C57" si="0">FC_AMT*B47</f>
        <v>11883974.744239999</v>
      </c>
      <c r="D47" s="21">
        <f t="shared" ref="D47:D57" si="1">FC_AMT*F0_in</f>
        <v>12662001.332117075</v>
      </c>
      <c r="E47" s="21">
        <f>C31</f>
        <v>12662001.332117075</v>
      </c>
      <c r="F47" s="21">
        <f>MAX(K_PUT,B47)*FC_AMT-C39</f>
        <v>12319375.275275001</v>
      </c>
      <c r="G47" s="21">
        <f>C39</f>
        <v>190071.823925</v>
      </c>
    </row>
    <row r="48" spans="2:9" x14ac:dyDescent="0.2">
      <c r="B48" s="20">
        <f>S0_in*0.96</f>
        <v>1.114368</v>
      </c>
      <c r="C48" s="21">
        <f t="shared" si="0"/>
        <v>12009069.215232</v>
      </c>
      <c r="D48" s="21">
        <f t="shared" si="1"/>
        <v>12662001.332117075</v>
      </c>
      <c r="E48" s="21">
        <f>C31</f>
        <v>12662001.332117075</v>
      </c>
      <c r="F48" s="21">
        <f>MAX(K_PUT,B48)*FC_AMT-C39</f>
        <v>12319375.275275001</v>
      </c>
      <c r="G48" s="21">
        <f>C39</f>
        <v>190071.823925</v>
      </c>
    </row>
    <row r="49" spans="2:9" x14ac:dyDescent="0.2">
      <c r="B49" s="20">
        <f>S0_in*0.97</f>
        <v>1.1259760000000001</v>
      </c>
      <c r="C49" s="21">
        <f t="shared" si="0"/>
        <v>12134163.686224001</v>
      </c>
      <c r="D49" s="21">
        <f t="shared" si="1"/>
        <v>12662001.332117075</v>
      </c>
      <c r="E49" s="21">
        <f>C31</f>
        <v>12662001.332117075</v>
      </c>
      <c r="F49" s="21">
        <f>MAX(K_PUT,B49)*FC_AMT-C39</f>
        <v>12319375.275275001</v>
      </c>
      <c r="G49" s="21">
        <f>C39</f>
        <v>190071.823925</v>
      </c>
    </row>
    <row r="50" spans="2:9" x14ac:dyDescent="0.2">
      <c r="B50" s="20">
        <f>S0_in*0.98</f>
        <v>1.1375839999999999</v>
      </c>
      <c r="C50" s="21">
        <f t="shared" si="0"/>
        <v>12259258.157215999</v>
      </c>
      <c r="D50" s="21">
        <f t="shared" si="1"/>
        <v>12662001.332117075</v>
      </c>
      <c r="E50" s="21">
        <f>C31</f>
        <v>12662001.332117075</v>
      </c>
      <c r="F50" s="21">
        <f>MAX(K_PUT,B50)*FC_AMT-C39</f>
        <v>12319375.275275001</v>
      </c>
      <c r="G50" s="21">
        <f>C39</f>
        <v>190071.823925</v>
      </c>
    </row>
    <row r="51" spans="2:9" x14ac:dyDescent="0.2">
      <c r="B51" s="20">
        <f>S0_in*0.99</f>
        <v>1.149192</v>
      </c>
      <c r="C51" s="21">
        <f t="shared" si="0"/>
        <v>12384352.628208</v>
      </c>
      <c r="D51" s="21">
        <f t="shared" si="1"/>
        <v>12662001.332117075</v>
      </c>
      <c r="E51" s="21">
        <f>C31</f>
        <v>12662001.332117075</v>
      </c>
      <c r="F51" s="21">
        <f>MAX(K_PUT,B51)*FC_AMT-C39</f>
        <v>12319375.275275001</v>
      </c>
      <c r="G51" s="21">
        <f>C39</f>
        <v>190071.823925</v>
      </c>
    </row>
    <row r="52" spans="2:9" x14ac:dyDescent="0.2">
      <c r="B52" s="22">
        <f>S0_in*1</f>
        <v>1.1608000000000001</v>
      </c>
      <c r="C52" s="18">
        <f t="shared" si="0"/>
        <v>12509447.099200001</v>
      </c>
      <c r="D52" s="18">
        <f t="shared" si="1"/>
        <v>12662001.332117075</v>
      </c>
      <c r="E52" s="18">
        <f>C31</f>
        <v>12662001.332117075</v>
      </c>
      <c r="F52" s="18">
        <f>MAX(K_PUT,B52)*FC_AMT-C39</f>
        <v>12319375.275275001</v>
      </c>
      <c r="G52" s="18">
        <f>C39</f>
        <v>190071.823925</v>
      </c>
      <c r="H52" s="23" t="s">
        <v>75</v>
      </c>
    </row>
    <row r="53" spans="2:9" x14ac:dyDescent="0.2">
      <c r="B53" s="20">
        <f>S0_in*1.01</f>
        <v>1.1724080000000001</v>
      </c>
      <c r="C53" s="21">
        <f t="shared" si="0"/>
        <v>12634541.570192002</v>
      </c>
      <c r="D53" s="21">
        <f t="shared" si="1"/>
        <v>12662001.332117075</v>
      </c>
      <c r="E53" s="21">
        <f>C31</f>
        <v>12662001.332117075</v>
      </c>
      <c r="F53" s="21">
        <f>MAX(K_PUT,B53)*FC_AMT-C39</f>
        <v>12444469.746267002</v>
      </c>
      <c r="G53" s="21">
        <f>C39</f>
        <v>190071.823925</v>
      </c>
    </row>
    <row r="54" spans="2:9" x14ac:dyDescent="0.2">
      <c r="B54" s="20">
        <f>S0_in*1.02</f>
        <v>1.1840160000000002</v>
      </c>
      <c r="C54" s="21">
        <f t="shared" si="0"/>
        <v>12759636.041184003</v>
      </c>
      <c r="D54" s="21">
        <f t="shared" si="1"/>
        <v>12662001.332117075</v>
      </c>
      <c r="E54" s="21">
        <f>C31</f>
        <v>12662001.332117075</v>
      </c>
      <c r="F54" s="21">
        <f>MAX(K_PUT,B54)*FC_AMT-C39</f>
        <v>12569564.217259003</v>
      </c>
      <c r="G54" s="21">
        <f>C39</f>
        <v>190071.823925</v>
      </c>
    </row>
    <row r="55" spans="2:9" x14ac:dyDescent="0.2">
      <c r="B55" s="20">
        <f>S0_in*1.03</f>
        <v>1.195624</v>
      </c>
      <c r="C55" s="21">
        <f t="shared" si="0"/>
        <v>12884730.512176</v>
      </c>
      <c r="D55" s="21">
        <f t="shared" si="1"/>
        <v>12662001.332117075</v>
      </c>
      <c r="E55" s="21">
        <f>C31</f>
        <v>12662001.332117075</v>
      </c>
      <c r="F55" s="21">
        <f>MAX(K_PUT,B55)*FC_AMT-C39</f>
        <v>12694658.688251</v>
      </c>
      <c r="G55" s="21">
        <f>C39</f>
        <v>190071.823925</v>
      </c>
    </row>
    <row r="56" spans="2:9" x14ac:dyDescent="0.2">
      <c r="B56" s="20">
        <f>S0_in*1.04</f>
        <v>1.2072320000000001</v>
      </c>
      <c r="C56" s="21">
        <f t="shared" si="0"/>
        <v>13009824.983168</v>
      </c>
      <c r="D56" s="21">
        <f t="shared" si="1"/>
        <v>12662001.332117075</v>
      </c>
      <c r="E56" s="21">
        <f>C31</f>
        <v>12662001.332117075</v>
      </c>
      <c r="F56" s="21">
        <f>MAX(K_PUT,B56)*FC_AMT-C39</f>
        <v>12819753.159243001</v>
      </c>
      <c r="G56" s="21">
        <f>C39</f>
        <v>190071.823925</v>
      </c>
    </row>
    <row r="57" spans="2:9" x14ac:dyDescent="0.2">
      <c r="B57" s="20">
        <f>S0_in*1.05</f>
        <v>1.2188400000000001</v>
      </c>
      <c r="C57" s="21">
        <f t="shared" si="0"/>
        <v>13134919.454160001</v>
      </c>
      <c r="D57" s="21">
        <f t="shared" si="1"/>
        <v>12662001.332117075</v>
      </c>
      <c r="E57" s="21">
        <f>C31</f>
        <v>12662001.332117075</v>
      </c>
      <c r="F57" s="21">
        <f>MAX(K_PUT,B57)*FC_AMT-C39</f>
        <v>12944847.630235001</v>
      </c>
      <c r="G57" s="21">
        <f>C39</f>
        <v>190071.823925</v>
      </c>
    </row>
    <row r="60" spans="2:9" x14ac:dyDescent="0.2">
      <c r="B60" s="36" t="s">
        <v>76</v>
      </c>
      <c r="C60" s="36"/>
      <c r="D60" s="36"/>
      <c r="E60" s="36"/>
      <c r="F60" s="36"/>
      <c r="G60" s="36"/>
      <c r="H60" s="36"/>
      <c r="I60" s="36"/>
    </row>
    <row r="61" spans="2:9" x14ac:dyDescent="0.2">
      <c r="B61" s="19" t="s">
        <v>77</v>
      </c>
      <c r="C61" s="19" t="s">
        <v>78</v>
      </c>
      <c r="D61" s="19" t="s">
        <v>79</v>
      </c>
      <c r="E61" s="19" t="s">
        <v>80</v>
      </c>
    </row>
    <row r="62" spans="2:9" ht="26" x14ac:dyDescent="0.2">
      <c r="B62" s="24" t="s">
        <v>81</v>
      </c>
      <c r="C62" s="13">
        <f>FC_AMT*S0_in</f>
        <v>12509447.099200001</v>
      </c>
      <c r="D62" s="25"/>
      <c r="E62" s="26" t="s">
        <v>82</v>
      </c>
    </row>
    <row r="63" spans="2:9" x14ac:dyDescent="0.2">
      <c r="B63" s="24" t="s">
        <v>83</v>
      </c>
      <c r="C63" s="13">
        <f>C24</f>
        <v>12662001.332117075</v>
      </c>
      <c r="D63" s="27">
        <f>C63-C62</f>
        <v>152554.23291707411</v>
      </c>
      <c r="E63" s="26" t="s">
        <v>84</v>
      </c>
    </row>
    <row r="64" spans="2:9" ht="26" x14ac:dyDescent="0.2">
      <c r="B64" s="24" t="s">
        <v>85</v>
      </c>
      <c r="C64" s="13">
        <f>C31</f>
        <v>12662001.332117075</v>
      </c>
      <c r="D64" s="27">
        <f>C64-C62</f>
        <v>152554.23291707411</v>
      </c>
      <c r="E64" s="26" t="s">
        <v>86</v>
      </c>
    </row>
    <row r="65" spans="2:5" ht="26" x14ac:dyDescent="0.2">
      <c r="B65" s="24" t="s">
        <v>87</v>
      </c>
      <c r="C65" s="13">
        <f>C40</f>
        <v>12319375.275275001</v>
      </c>
      <c r="D65" s="27">
        <f>C65-C62</f>
        <v>-190071.82392499968</v>
      </c>
      <c r="E65" s="26" t="s">
        <v>88</v>
      </c>
    </row>
    <row r="66" spans="2:5" ht="26" x14ac:dyDescent="0.2">
      <c r="B66" s="24" t="s">
        <v>89</v>
      </c>
      <c r="C66" s="13">
        <f>FC_AMT*S0_in-C39</f>
        <v>12319375.275275001</v>
      </c>
      <c r="D66" s="27">
        <f>C66-C62</f>
        <v>-190071.82392499968</v>
      </c>
      <c r="E66" s="26" t="s">
        <v>90</v>
      </c>
    </row>
    <row r="67" spans="2:5" ht="26" x14ac:dyDescent="0.2">
      <c r="B67" s="28" t="s">
        <v>91</v>
      </c>
      <c r="C67" s="29" t="s">
        <v>92</v>
      </c>
      <c r="D67" s="25"/>
      <c r="E67" s="30" t="s">
        <v>93</v>
      </c>
    </row>
  </sheetData>
  <mergeCells count="19">
    <mergeCell ref="B1:I1"/>
    <mergeCell ref="B2:I2"/>
    <mergeCell ref="B3:D3"/>
    <mergeCell ref="E3:G3"/>
    <mergeCell ref="H3:I3"/>
    <mergeCell ref="B4:I4"/>
    <mergeCell ref="B6:I6"/>
    <mergeCell ref="B20:I20"/>
    <mergeCell ref="B21:E21"/>
    <mergeCell ref="D24:E24"/>
    <mergeCell ref="B37:F37"/>
    <mergeCell ref="D40:F40"/>
    <mergeCell ref="B45:I45"/>
    <mergeCell ref="B60:I60"/>
    <mergeCell ref="B27:I27"/>
    <mergeCell ref="B28:E28"/>
    <mergeCell ref="D31:E31"/>
    <mergeCell ref="D33:F33"/>
    <mergeCell ref="B36:I36"/>
  </mergeCells>
  <pageMargins left="0.5" right="0.5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40"/>
  <sheetViews>
    <sheetView showGridLines="0" zoomScaleNormal="100" workbookViewId="0">
      <selection activeCell="C5" sqref="C5"/>
    </sheetView>
  </sheetViews>
  <sheetFormatPr baseColWidth="10" defaultColWidth="8.6640625" defaultRowHeight="15" x14ac:dyDescent="0.2"/>
  <cols>
    <col min="1" max="1" width="5" customWidth="1"/>
    <col min="2" max="2" width="30" customWidth="1"/>
    <col min="3" max="3" width="65" customWidth="1"/>
    <col min="4" max="4" width="20" customWidth="1"/>
  </cols>
  <sheetData>
    <row r="1" spans="2:4" ht="17.25" customHeight="1" x14ac:dyDescent="0.2">
      <c r="B1" s="45" t="s">
        <v>94</v>
      </c>
      <c r="C1" s="45"/>
      <c r="D1" s="45"/>
    </row>
    <row r="3" spans="2:4" ht="19.5" customHeight="1" x14ac:dyDescent="0.2">
      <c r="B3" s="43" t="s">
        <v>95</v>
      </c>
      <c r="C3" s="43"/>
      <c r="D3" s="43"/>
    </row>
    <row r="4" spans="2:4" ht="30" customHeight="1" x14ac:dyDescent="0.2">
      <c r="B4" s="31" t="s">
        <v>96</v>
      </c>
      <c r="C4" s="2" t="s">
        <v>97</v>
      </c>
    </row>
    <row r="5" spans="2:4" ht="30" customHeight="1" x14ac:dyDescent="0.2">
      <c r="B5" s="31" t="s">
        <v>98</v>
      </c>
      <c r="C5" s="2" t="s">
        <v>151</v>
      </c>
    </row>
    <row r="6" spans="2:4" ht="30" customHeight="1" x14ac:dyDescent="0.2">
      <c r="B6" s="31" t="s">
        <v>99</v>
      </c>
      <c r="C6" s="2" t="s">
        <v>100</v>
      </c>
    </row>
    <row r="7" spans="2:4" ht="30" customHeight="1" x14ac:dyDescent="0.2">
      <c r="B7" s="31" t="s">
        <v>101</v>
      </c>
      <c r="C7" s="2" t="s">
        <v>102</v>
      </c>
    </row>
    <row r="8" spans="2:4" ht="30" customHeight="1" x14ac:dyDescent="0.2">
      <c r="B8" s="31" t="s">
        <v>30</v>
      </c>
      <c r="C8" s="2" t="s">
        <v>103</v>
      </c>
    </row>
    <row r="10" spans="2:4" ht="19.5" customHeight="1" x14ac:dyDescent="0.2">
      <c r="B10" s="43" t="s">
        <v>104</v>
      </c>
      <c r="C10" s="43"/>
      <c r="D10" s="43"/>
    </row>
    <row r="11" spans="2:4" ht="30" customHeight="1" x14ac:dyDescent="0.2">
      <c r="B11" s="31" t="s">
        <v>105</v>
      </c>
      <c r="C11" s="2" t="s">
        <v>106</v>
      </c>
    </row>
    <row r="12" spans="2:4" ht="30" customHeight="1" x14ac:dyDescent="0.2">
      <c r="B12" s="31" t="s">
        <v>37</v>
      </c>
      <c r="C12" s="2" t="s">
        <v>107</v>
      </c>
    </row>
    <row r="13" spans="2:4" ht="30" customHeight="1" x14ac:dyDescent="0.2">
      <c r="B13" s="31" t="s">
        <v>108</v>
      </c>
      <c r="C13" s="2" t="s">
        <v>109</v>
      </c>
    </row>
    <row r="14" spans="2:4" ht="30" customHeight="1" x14ac:dyDescent="0.2">
      <c r="B14" s="31" t="s">
        <v>43</v>
      </c>
      <c r="C14" s="2" t="s">
        <v>110</v>
      </c>
    </row>
    <row r="15" spans="2:4" ht="30" customHeight="1" x14ac:dyDescent="0.2">
      <c r="B15" s="31" t="s">
        <v>111</v>
      </c>
      <c r="C15" s="2" t="s">
        <v>112</v>
      </c>
    </row>
    <row r="17" spans="2:4" ht="19.5" customHeight="1" x14ac:dyDescent="0.2">
      <c r="B17" s="43" t="s">
        <v>113</v>
      </c>
      <c r="C17" s="43"/>
      <c r="D17" s="43"/>
    </row>
    <row r="18" spans="2:4" ht="30" customHeight="1" x14ac:dyDescent="0.2">
      <c r="B18" s="31" t="s">
        <v>114</v>
      </c>
      <c r="C18" s="2" t="s">
        <v>115</v>
      </c>
    </row>
    <row r="19" spans="2:4" ht="30" customHeight="1" x14ac:dyDescent="0.2">
      <c r="B19" s="31" t="s">
        <v>116</v>
      </c>
      <c r="C19" s="2" t="s">
        <v>117</v>
      </c>
    </row>
    <row r="20" spans="2:4" ht="30" customHeight="1" x14ac:dyDescent="0.2">
      <c r="B20" s="31" t="s">
        <v>118</v>
      </c>
      <c r="C20" s="2" t="s">
        <v>119</v>
      </c>
    </row>
    <row r="22" spans="2:4" ht="19.5" customHeight="1" x14ac:dyDescent="0.2">
      <c r="B22" s="43" t="s">
        <v>120</v>
      </c>
      <c r="C22" s="43"/>
      <c r="D22" s="43"/>
    </row>
    <row r="23" spans="2:4" ht="30" customHeight="1" x14ac:dyDescent="0.2">
      <c r="B23" s="31" t="s">
        <v>121</v>
      </c>
      <c r="C23" s="2" t="s">
        <v>122</v>
      </c>
    </row>
    <row r="24" spans="2:4" ht="30" customHeight="1" x14ac:dyDescent="0.2">
      <c r="B24" s="31" t="s">
        <v>123</v>
      </c>
      <c r="C24" s="2" t="s">
        <v>124</v>
      </c>
    </row>
    <row r="25" spans="2:4" ht="30" customHeight="1" x14ac:dyDescent="0.2">
      <c r="B25" s="31" t="s">
        <v>125</v>
      </c>
      <c r="C25" s="2" t="s">
        <v>126</v>
      </c>
    </row>
    <row r="26" spans="2:4" ht="30" customHeight="1" x14ac:dyDescent="0.2">
      <c r="B26" s="31" t="s">
        <v>127</v>
      </c>
      <c r="C26" s="2" t="s">
        <v>128</v>
      </c>
    </row>
    <row r="27" spans="2:4" ht="30" customHeight="1" x14ac:dyDescent="0.2">
      <c r="B27" s="31" t="s">
        <v>129</v>
      </c>
      <c r="C27" s="2" t="s">
        <v>130</v>
      </c>
    </row>
    <row r="29" spans="2:4" ht="19.5" customHeight="1" x14ac:dyDescent="0.2">
      <c r="B29" s="43" t="s">
        <v>131</v>
      </c>
      <c r="C29" s="43"/>
      <c r="D29" s="43"/>
    </row>
    <row r="30" spans="2:4" ht="30" customHeight="1" x14ac:dyDescent="0.2">
      <c r="B30" s="31" t="s">
        <v>132</v>
      </c>
      <c r="C30" s="2" t="s">
        <v>133</v>
      </c>
    </row>
    <row r="31" spans="2:4" ht="30" customHeight="1" x14ac:dyDescent="0.2">
      <c r="B31" s="31" t="s">
        <v>134</v>
      </c>
      <c r="C31" s="2" t="s">
        <v>135</v>
      </c>
    </row>
    <row r="32" spans="2:4" ht="30" customHeight="1" x14ac:dyDescent="0.2">
      <c r="B32" s="31" t="s">
        <v>136</v>
      </c>
      <c r="C32" s="2" t="s">
        <v>137</v>
      </c>
    </row>
    <row r="33" spans="2:4" ht="30" customHeight="1" x14ac:dyDescent="0.2">
      <c r="B33" s="31" t="s">
        <v>138</v>
      </c>
      <c r="C33" s="2" t="s">
        <v>139</v>
      </c>
    </row>
    <row r="35" spans="2:4" ht="19.5" customHeight="1" x14ac:dyDescent="0.2">
      <c r="B35" s="44" t="s">
        <v>140</v>
      </c>
      <c r="C35" s="44"/>
      <c r="D35" s="44"/>
    </row>
    <row r="36" spans="2:4" ht="45" customHeight="1" x14ac:dyDescent="0.2">
      <c r="B36" s="32" t="s">
        <v>141</v>
      </c>
      <c r="C36" s="33" t="s">
        <v>142</v>
      </c>
    </row>
    <row r="37" spans="2:4" ht="45" customHeight="1" x14ac:dyDescent="0.2">
      <c r="B37" s="32" t="s">
        <v>143</v>
      </c>
      <c r="C37" s="33" t="s">
        <v>144</v>
      </c>
    </row>
    <row r="38" spans="2:4" ht="45" customHeight="1" x14ac:dyDescent="0.2">
      <c r="B38" s="32" t="s">
        <v>145</v>
      </c>
      <c r="C38" s="33" t="s">
        <v>146</v>
      </c>
    </row>
    <row r="39" spans="2:4" ht="45" customHeight="1" x14ac:dyDescent="0.2">
      <c r="B39" s="32" t="s">
        <v>147</v>
      </c>
      <c r="C39" s="33" t="s">
        <v>148</v>
      </c>
    </row>
    <row r="40" spans="2:4" ht="45" customHeight="1" x14ac:dyDescent="0.2">
      <c r="B40" s="32" t="s">
        <v>149</v>
      </c>
      <c r="C40" s="33" t="s">
        <v>150</v>
      </c>
    </row>
  </sheetData>
  <mergeCells count="7">
    <mergeCell ref="B29:D29"/>
    <mergeCell ref="B35:D35"/>
    <mergeCell ref="B1:D1"/>
    <mergeCell ref="B3:D3"/>
    <mergeCell ref="B10:D10"/>
    <mergeCell ref="B17:D17"/>
    <mergeCell ref="B22:D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11</vt:i4>
      </vt:variant>
    </vt:vector>
  </HeadingPairs>
  <TitlesOfParts>
    <vt:vector size="13" baseType="lpstr">
      <vt:lpstr>FX Hedge Model</vt:lpstr>
      <vt:lpstr>Notes &amp; Assumptions</vt:lpstr>
      <vt:lpstr>F0_in</vt:lpstr>
      <vt:lpstr>FC_AMT</vt:lpstr>
      <vt:lpstr>K_CALL</vt:lpstr>
      <vt:lpstr>K_PUT</vt:lpstr>
      <vt:lpstr>PREM_CALL</vt:lpstr>
      <vt:lpstr>PREM_PUT</vt:lpstr>
      <vt:lpstr>'FX Hedge Model'!Print_Titles</vt:lpstr>
      <vt:lpstr>R_FC</vt:lpstr>
      <vt:lpstr>R_USD</vt:lpstr>
      <vt:lpstr>S0_in</vt:lpstr>
      <vt:lpstr>T_DAYS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David Wetter</cp:lastModifiedBy>
  <cp:revision>6</cp:revision>
  <dcterms:created xsi:type="dcterms:W3CDTF">2026-04-17T22:06:46Z</dcterms:created>
  <dcterms:modified xsi:type="dcterms:W3CDTF">2026-04-17T23:33:47Z</dcterms:modified>
  <dc:language>en-US</dc:language>
</cp:coreProperties>
</file>